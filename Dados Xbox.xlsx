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kinha\Documents\Curso santander\"/>
    </mc:Choice>
  </mc:AlternateContent>
  <xr:revisionPtr revIDLastSave="0" documentId="13_ncr:1_{20813228-7523-4B1D-AC3B-B578CA7923FD}" xr6:coauthVersionLast="47" xr6:coauthVersionMax="47" xr10:uidLastSave="{00000000-0000-0000-0000-000000000000}"/>
  <bookViews>
    <workbookView xWindow="0" yWindow="30" windowWidth="15165" windowHeight="15600" tabRatio="72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26" i="3"/>
</calcChain>
</file>

<file path=xl/sharedStrings.xml><?xml version="1.0" encoding="utf-8"?>
<sst xmlns="http://schemas.openxmlformats.org/spreadsheetml/2006/main" count="2026" uniqueCount="329">
  <si>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</si>
  <si>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</si>
  <si>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</si>
  <si>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</si>
  <si>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</si>
  <si>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</si>
  <si>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</si>
  <si>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</si>
  <si>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</si>
  <si>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</si>
  <si>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</si>
  <si>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</si>
  <si>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</si>
  <si>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</si>
  <si>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</si>
  <si>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</si>
  <si>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</si>
  <si>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</si>
  <si>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</si>
  <si>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</si>
  <si>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</si>
  <si>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</si>
  <si>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</si>
  <si>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</si>
  <si>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</si>
  <si>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</si>
  <si>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</si>
  <si>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</si>
  <si>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</si>
  <si>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</si>
  <si>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</si>
  <si>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</si>
  <si>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</si>
  <si>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</si>
  <si>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</si>
  <si>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</si>
  <si>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</si>
  <si>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</si>
  <si>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</si>
  <si>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</si>
  <si>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</si>
  <si>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</si>
  <si>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</si>
  <si>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</si>
  <si>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</si>
  <si>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</si>
  <si>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</si>
  <si>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</si>
  <si>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</si>
  <si>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</si>
  <si>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</si>
  <si>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</si>
  <si>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</si>
  <si>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</si>
  <si>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</si>
  <si>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</si>
  <si>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</si>
  <si>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</si>
  <si>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</si>
  <si>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</si>
  <si>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</si>
  <si>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</si>
  <si>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</si>
  <si>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</si>
  <si>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</si>
  <si>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</si>
  <si>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</si>
  <si>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</si>
  <si>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</si>
  <si>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</si>
  <si>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</si>
  <si>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</si>
  <si>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</si>
  <si>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</si>
  <si>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</si>
  <si>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</si>
  <si>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</si>
  <si>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</si>
  <si>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</si>
  <si>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</si>
  <si>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</si>
  <si>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</si>
  <si>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</si>
  <si>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</si>
  <si>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</si>
  <si>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</si>
  <si>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</si>
  <si>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</si>
  <si>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</si>
  <si>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</si>
  <si>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</si>
  <si>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</si>
  <si>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</si>
  <si>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</si>
  <si>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</si>
  <si>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</si>
  <si>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</si>
  <si>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</si>
  <si>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</si>
  <si>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</si>
  <si>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</si>
  <si>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</si>
  <si>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</si>
  <si>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</si>
  <si>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</si>
  <si>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</si>
  <si>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</si>
  <si>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</si>
  <si>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</si>
  <si>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</si>
  <si>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</si>
  <si>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</si>
  <si>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</si>
  <si>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</si>
  <si>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</si>
  <si>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</si>
  <si>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</si>
  <si>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</si>
  <si>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</si>
  <si>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</si>
  <si>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</si>
  <si>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</si>
  <si>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</si>
  <si>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</si>
  <si>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</si>
  <si>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</si>
  <si>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</si>
  <si>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</si>
  <si>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</si>
  <si>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</si>
  <si>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</si>
  <si>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</si>
  <si>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</si>
  <si>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</si>
  <si>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</si>
  <si>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</si>
  <si>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</si>
  <si>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</si>
  <si>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</si>
  <si>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</si>
  <si>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</si>
  <si>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</si>
  <si>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</si>
  <si>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</si>
  <si>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</si>
  <si>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</si>
  <si>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</si>
  <si>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</si>
  <si>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</si>
  <si>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</si>
  <si>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</si>
  <si>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</si>
  <si>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</si>
  <si>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</si>
  <si>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</si>
  <si>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</si>
  <si>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</si>
  <si>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</si>
  <si>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</si>
  <si>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</si>
  <si>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</si>
  <si>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</si>
  <si>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</si>
  <si>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</si>
  <si>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</si>
  <si>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</si>
  <si>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</si>
  <si>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</si>
  <si>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</si>
  <si>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</si>
  <si>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</si>
  <si>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</si>
  <si>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</si>
  <si>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</si>
  <si>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</si>
  <si>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</si>
  <si>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</si>
  <si>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</si>
  <si>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</si>
  <si>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</si>
  <si>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</si>
  <si>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</si>
  <si>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</si>
  <si>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</si>
  <si>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</si>
  <si>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</si>
  <si>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</si>
  <si>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</si>
  <si>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</si>
  <si>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</si>
  <si>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</si>
  <si>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</si>
  <si>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</si>
  <si>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</si>
  <si>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</si>
  <si>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</si>
  <si>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</si>
  <si>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</si>
  <si>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</si>
  <si>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</si>
  <si>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</si>
  <si>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</si>
  <si>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</si>
  <si>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</si>
  <si>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</si>
  <si>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</si>
  <si>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</si>
  <si>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</si>
  <si>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</si>
  <si>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</si>
  <si>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</si>
  <si>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</si>
  <si>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</si>
  <si>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</si>
  <si>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</si>
  <si>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</si>
  <si>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</si>
  <si>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</si>
  <si>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</si>
  <si>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</si>
  <si>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</si>
  <si>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</si>
  <si>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</si>
  <si>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</si>
  <si>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</si>
  <si>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</si>
  <si>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</si>
  <si>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</si>
  <si>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</si>
  <si>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</si>
  <si>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</si>
  <si>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</si>
  <si>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</si>
  <si>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</si>
  <si>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</si>
  <si>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</si>
  <si>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</si>
  <si>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</si>
  <si>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</si>
  <si>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</si>
  <si>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</si>
  <si>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</si>
  <si>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</si>
  <si>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</si>
  <si>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</si>
  <si>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</si>
  <si>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</si>
  <si>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</si>
  <si>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</si>
  <si>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</si>
  <si>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</si>
  <si>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</si>
  <si>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</si>
  <si>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</si>
  <si>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</si>
  <si>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</si>
  <si>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</si>
  <si>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</si>
  <si>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</si>
  <si>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</si>
  <si>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</si>
  <si>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</si>
  <si>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</si>
  <si>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</si>
  <si>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</si>
  <si>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</si>
  <si>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</si>
  <si>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</si>
  <si>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</si>
  <si>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</si>
  <si>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</si>
  <si>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</si>
  <si>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</si>
  <si>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</si>
  <si>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</si>
  <si>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</si>
  <si>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</si>
  <si>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</si>
  <si>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</si>
  <si>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</si>
  <si>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</si>
  <si>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</si>
  <si>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</si>
  <si>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</si>
  <si>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</si>
  <si>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</si>
  <si>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</si>
  <si>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</si>
  <si>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</si>
  <si>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</si>
  <si>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</si>
  <si>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</si>
  <si>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</si>
  <si>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</si>
  <si>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</si>
  <si>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</si>
  <si>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</si>
  <si>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</si>
  <si>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</si>
  <si>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</si>
  <si>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</si>
  <si>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</si>
  <si>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</si>
  <si>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</si>
  <si>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</si>
  <si>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</si>
  <si>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</si>
  <si>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</si>
  <si>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</si>
  <si>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</si>
  <si>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</si>
  <si>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</si>
  <si>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Sub+1:273scriber ID</t>
  </si>
  <si>
    <t>Qual o faturamento anual da vendas de nosso produtos</t>
  </si>
  <si>
    <t xml:space="preserve">Quem foram nossos maiores compradores </t>
  </si>
  <si>
    <t>Rótulos de Linha</t>
  </si>
  <si>
    <t>Total Geral</t>
  </si>
  <si>
    <t>Soma de Total Value</t>
  </si>
  <si>
    <r>
      <t>Pergunta de negócio - 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(Separado por alto renovação ou não renovavel 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</si>
  <si>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</si>
  <si>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u/>
        <sz val="11"/>
        <color theme="1"/>
        <rFont val="Aptos Narrow"/>
        <family val="2"/>
        <scheme val="minor"/>
      </rPr>
      <t>Pergunta de negócio</t>
    </r>
    <r>
      <rPr>
        <sz val="11"/>
        <color theme="1"/>
        <rFont val="Aptos Narrow"/>
        <family val="2"/>
        <scheme val="minor"/>
      </rPr>
      <t xml:space="preserve">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</si>
  <si>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de negócio - Total de Vendas da Assinatura do EA Play</t>
  </si>
  <si>
    <t>Soma de EA Play Season Pass</t>
  </si>
  <si>
    <t>Pergunta de negócio - Total de Vendas da Assinatura do Minecraft Season Pass</t>
  </si>
  <si>
    <t>Contagem de Minecraft Season Pass2</t>
  </si>
  <si>
    <t xml:space="preserve">             XBOX GAME PASS SUBSCRIPTIONS SALES</t>
  </si>
  <si>
    <t xml:space="preserve"> </t>
  </si>
  <si>
    <r>
      <rPr>
        <b/>
        <sz val="16"/>
        <color theme="0"/>
        <rFont val="Aptos Narrow"/>
        <family val="2"/>
        <scheme val="minor"/>
      </rPr>
      <t>Bem vindo Marcos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</si>
  <si>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2"/>
        <color theme="1"/>
        <rFont val="Aptos Narrow"/>
        <family val="2"/>
        <scheme val="minor"/>
      </rPr>
      <t xml:space="preserve">  Calculation period</t>
    </r>
    <r>
      <rPr>
        <i/>
        <sz val="12"/>
        <color theme="1"/>
        <rFont val="Aptos Narrow"/>
        <family val="2"/>
        <scheme val="minor"/>
      </rPr>
      <t>: 01/01/2024 até 31/12/2024 | Update date:21/01/2026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</si>
</sst>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0"/>
      <color rgb="FF5BF6A8"/>
      <name val="Bahnschrift"/>
      <family val="2"/>
    </font>
    <font>
      <b/>
      <sz val="16"/>
      <color theme="0"/>
      <name val="Aptos Narrow"/>
      <family val="2"/>
      <scheme val="minor"/>
    </font>
    <font>
      <b/>
      <sz val="24"/>
      <color rgb="FF22C55E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1" applyBorder="1"/>
    <xf numFmtId="0" fontId="7" fillId="8" borderId="0" xfId="0" applyFont="1" applyFill="1"/>
    <xf numFmtId="0" fontId="0" fillId="0" borderId="0" xfId="0" applyBorder="1"/>
    <xf numFmtId="0" fontId="8" fillId="0" borderId="0" xfId="1" applyFont="1" applyBorder="1"/>
    <xf numFmtId="0" fontId="0" fillId="8" borderId="0" xfId="0" applyFill="1"/>
    <xf numFmtId="0" fontId="6" fillId="9" borderId="2" xfId="0" applyFont="1" applyFill="1" applyBorder="1"/>
    <xf numFmtId="0" fontId="0" fillId="9" borderId="2" xfId="0" applyFill="1" applyBorder="1"/>
    <xf numFmtId="0" fontId="0" fillId="4" borderId="0" xfId="0" applyFill="1" applyAlignment="1">
      <alignment horizontal="center" vertical="top"/>
    </xf>
    <xf numFmtId="0" fontId="9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3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rgb="FF4CD46C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DB3AE25E-7C43-4878-BC38-FC13C63473EC}">
      <tableStyleElement type="wholeTable" dxfId="37"/>
      <tableStyleElement type="headerRow" dxfId="36"/>
    </tableStyle>
  </tableStyles>
  <colors>
    <mruColors>
      <color rgb="FF22C55E"/>
      <color rgb="FF5BF6A8"/>
      <color rgb="FF4CD46C"/>
      <color rgb="FF2AE6B1"/>
      <color rgb="FFE8E6E9"/>
      <color rgb="FFF7F8FC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Xbox.xlsx]C̳álculos!TBL Anual-Total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31875177108956E-2"/>
          <c:y val="8.6778074318569126E-2"/>
          <c:w val="0.88918966612715056"/>
          <c:h val="0.845444824364871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8-4470-AF6D-EB41B698E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40573087"/>
        <c:axId val="2140573567"/>
      </c:barChart>
      <c:catAx>
        <c:axId val="214057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0573567"/>
        <c:crosses val="autoZero"/>
        <c:auto val="1"/>
        <c:lblAlgn val="ctr"/>
        <c:lblOffset val="100"/>
        <c:noMultiLvlLbl val="0"/>
      </c:catAx>
      <c:valAx>
        <c:axId val="214057356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1405730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15</xdr:row>
      <xdr:rowOff>19050</xdr:rowOff>
    </xdr:from>
    <xdr:to>
      <xdr:col>5</xdr:col>
      <xdr:colOff>352425</xdr:colOff>
      <xdr:row>20</xdr:row>
      <xdr:rowOff>88773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028950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1919071</xdr:colOff>
      <xdr:row>0</xdr:row>
      <xdr:rowOff>51953</xdr:rowOff>
    </xdr:from>
    <xdr:to>
      <xdr:col>2</xdr:col>
      <xdr:colOff>675411</xdr:colOff>
      <xdr:row>3</xdr:row>
      <xdr:rowOff>180602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EA05E3-DFF7-4BBA-8F16-28379646F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293"/>
        <a:stretch>
          <a:fillRect/>
        </a:stretch>
      </xdr:blipFill>
      <xdr:spPr>
        <a:xfrm>
          <a:off x="1919071" y="51953"/>
          <a:ext cx="886476" cy="1046513"/>
        </a:xfrm>
        <a:prstGeom prst="rect">
          <a:avLst/>
        </a:prstGeom>
      </xdr:spPr>
    </xdr:pic>
    <xdr:clientData/>
  </xdr:twoCellAnchor>
  <xdr:twoCellAnchor editAs="oneCell">
    <xdr:from>
      <xdr:col>0</xdr:col>
      <xdr:colOff>12049</xdr:colOff>
      <xdr:row>4</xdr:row>
      <xdr:rowOff>55719</xdr:rowOff>
    </xdr:from>
    <xdr:to>
      <xdr:col>0</xdr:col>
      <xdr:colOff>1905001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6D88B660-F2FA-42B2-AFBA-1A72F49568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9" y="1400425"/>
              <a:ext cx="1892952" cy="1927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62777</xdr:colOff>
      <xdr:row>4</xdr:row>
      <xdr:rowOff>137619</xdr:rowOff>
    </xdr:from>
    <xdr:to>
      <xdr:col>8</xdr:col>
      <xdr:colOff>591448</xdr:colOff>
      <xdr:row>13</xdr:row>
      <xdr:rowOff>158456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384C38A-3D32-66F1-B21D-AA87745EE901}"/>
            </a:ext>
          </a:extLst>
        </xdr:cNvPr>
        <xdr:cNvGrpSpPr/>
      </xdr:nvGrpSpPr>
      <xdr:grpSpPr>
        <a:xfrm>
          <a:off x="2180689" y="1482325"/>
          <a:ext cx="5929906" cy="2194778"/>
          <a:chOff x="1154905" y="1428751"/>
          <a:chExt cx="5965033" cy="2178843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F4A507E8-6EDC-88F0-BE56-5453BEB468B5}"/>
              </a:ext>
            </a:extLst>
          </xdr:cNvPr>
          <xdr:cNvSpPr/>
        </xdr:nvSpPr>
        <xdr:spPr>
          <a:xfrm>
            <a:off x="1154905" y="1512094"/>
            <a:ext cx="5965031" cy="173831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  <a:solidFill>
                <a:schemeClr val="bg1"/>
              </a:solidFill>
            </a:endParaRPr>
          </a:p>
        </xdr:txBody>
      </xdr:sp>
      <xdr:sp macro="" textlink="C̳álculos!D26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FB614E69-F3B5-4185-9E45-B8418158402D}"/>
              </a:ext>
            </a:extLst>
          </xdr:cNvPr>
          <xdr:cNvSpPr/>
        </xdr:nvSpPr>
        <xdr:spPr>
          <a:xfrm>
            <a:off x="2024063" y="2107406"/>
            <a:ext cx="5095875" cy="1047751"/>
          </a:xfrm>
          <a:prstGeom prst="roundRect">
            <a:avLst>
              <a:gd name="adj" fmla="val 18309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AFEA6C0-80E5-4BF6-9475-E957BF4D7434}" type="TxLink">
              <a:rPr lang="en-US" sz="4400" b="0" i="0" u="none" strike="noStrike">
                <a:ln>
                  <a:noFill/>
                </a:ln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4400">
              <a:ln>
                <a:noFill/>
              </a:ln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65363F2-0B95-4B25-9954-67C27B97A2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1593" y="1583531"/>
            <a:ext cx="1702593" cy="2024063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F3ED036C-C1EB-5AF6-5E7B-6EF4E055CB97}"/>
              </a:ext>
            </a:extLst>
          </xdr:cNvPr>
          <xdr:cNvSpPr/>
        </xdr:nvSpPr>
        <xdr:spPr>
          <a:xfrm>
            <a:off x="1154906" y="1428751"/>
            <a:ext cx="5965031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255442</xdr:colOff>
      <xdr:row>4</xdr:row>
      <xdr:rowOff>123265</xdr:rowOff>
    </xdr:from>
    <xdr:to>
      <xdr:col>20</xdr:col>
      <xdr:colOff>314975</xdr:colOff>
      <xdr:row>12</xdr:row>
      <xdr:rowOff>76540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6BC1347-5D11-A43E-0E8D-B90CF981601F}"/>
            </a:ext>
          </a:extLst>
        </xdr:cNvPr>
        <xdr:cNvGrpSpPr/>
      </xdr:nvGrpSpPr>
      <xdr:grpSpPr>
        <a:xfrm>
          <a:off x="8984824" y="1467971"/>
          <a:ext cx="5942622" cy="1936716"/>
          <a:chOff x="7504339" y="1438955"/>
          <a:chExt cx="6005854" cy="1835262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5881EFB-3C82-498C-9233-86076079398D}"/>
              </a:ext>
            </a:extLst>
          </xdr:cNvPr>
          <xdr:cNvGrpSpPr/>
        </xdr:nvGrpSpPr>
        <xdr:grpSpPr>
          <a:xfrm>
            <a:off x="7504339" y="1438955"/>
            <a:ext cx="6005854" cy="1835262"/>
            <a:chOff x="1154905" y="1428751"/>
            <a:chExt cx="5965032" cy="182165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15AEFB9E-FA3C-554E-8944-7D98BDE68993}"/>
                </a:ext>
              </a:extLst>
            </xdr:cNvPr>
            <xdr:cNvSpPr/>
          </xdr:nvSpPr>
          <xdr:spPr>
            <a:xfrm>
              <a:off x="1154905" y="1512094"/>
              <a:ext cx="5965031" cy="173831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  <a:solidFill>
                  <a:schemeClr val="bg1"/>
                </a:solidFill>
              </a:endParaRPr>
            </a:p>
          </xdr:txBody>
        </xdr:sp>
        <xdr:sp macro="" textlink="C̳álculos!D40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E69951FE-5668-6B4E-1CEC-5BA61C6BAA2C}"/>
                </a:ext>
              </a:extLst>
            </xdr:cNvPr>
            <xdr:cNvSpPr/>
          </xdr:nvSpPr>
          <xdr:spPr>
            <a:xfrm>
              <a:off x="1970005" y="2093901"/>
              <a:ext cx="5095875" cy="1047751"/>
            </a:xfrm>
            <a:prstGeom prst="roundRect">
              <a:avLst>
                <a:gd name="adj" fmla="val 1830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161277C-84DA-4343-BF76-30C7C3505FAB}" type="TxLink">
                <a:rPr lang="en-US" sz="4400" b="0" i="0" u="none" strike="noStrike">
                  <a:ln>
                    <a:noFill/>
                  </a:ln>
                  <a:solidFill>
                    <a:srgbClr val="22C55E"/>
                  </a:solidFill>
                  <a:latin typeface="Aptos Narrow"/>
                </a:rPr>
                <a:t>R$ 85,00</a:t>
              </a:fld>
              <a:endParaRPr lang="pt-BR" sz="4400">
                <a:ln>
                  <a:noFill/>
                </a:ln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DDF1183E-7C55-6E20-9FC1-35CFE5991F17}"/>
                </a:ext>
              </a:extLst>
            </xdr:cNvPr>
            <xdr:cNvSpPr/>
          </xdr:nvSpPr>
          <xdr:spPr>
            <a:xfrm>
              <a:off x="1154906" y="1428751"/>
              <a:ext cx="5965031" cy="50006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TOTAL SUBSCRIPTIONS MINECRAFT SEASON PASS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58B3308A-CD58-4FAA-81CB-3F60E216CE68}"/>
              </a:ext>
            </a:extLst>
          </xdr:cNvPr>
          <xdr:cNvGrpSpPr/>
        </xdr:nvGrpSpPr>
        <xdr:grpSpPr>
          <a:xfrm>
            <a:off x="7699942" y="2086995"/>
            <a:ext cx="1559681" cy="760981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957006D6-D9A2-86A8-931C-5AD0855771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4E0311C7-5D1A-458F-03EB-CC21B9C3E9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15151</xdr:colOff>
      <xdr:row>14</xdr:row>
      <xdr:rowOff>121227</xdr:rowOff>
    </xdr:from>
    <xdr:to>
      <xdr:col>20</xdr:col>
      <xdr:colOff>380999</xdr:colOff>
      <xdr:row>38</xdr:row>
      <xdr:rowOff>173180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F04875AD-55A4-5356-923D-0A1EDE5A4828}"/>
            </a:ext>
          </a:extLst>
        </xdr:cNvPr>
        <xdr:cNvGrpSpPr/>
      </xdr:nvGrpSpPr>
      <xdr:grpSpPr>
        <a:xfrm>
          <a:off x="2133063" y="3830374"/>
          <a:ext cx="12850882" cy="4702394"/>
          <a:chOff x="1175469" y="3723409"/>
          <a:chExt cx="12869575" cy="4693226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B47B63C4-829D-47CE-9F50-2728D4C2DB7D}"/>
              </a:ext>
            </a:extLst>
          </xdr:cNvPr>
          <xdr:cNvGraphicFramePr>
            <a:graphicFrameLocks/>
          </xdr:cNvGraphicFramePr>
        </xdr:nvGraphicFramePr>
        <xdr:xfrm>
          <a:off x="1175469" y="4242954"/>
          <a:ext cx="12852258" cy="41736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31C25F18-FF56-4B91-8BB0-C102DF170062}"/>
              </a:ext>
            </a:extLst>
          </xdr:cNvPr>
          <xdr:cNvSpPr/>
        </xdr:nvSpPr>
        <xdr:spPr>
          <a:xfrm>
            <a:off x="1194955" y="3723409"/>
            <a:ext cx="12850089" cy="55418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SUBSCRIPTIONS XBOX</a:t>
            </a:r>
            <a:r>
              <a:rPr lang="pt-BR" sz="1800" b="1" baseline="0">
                <a:solidFill>
                  <a:schemeClr val="bg1"/>
                </a:solidFill>
              </a:rPr>
              <a:t> GAME</a:t>
            </a:r>
            <a:r>
              <a:rPr lang="pt-BR" sz="1800" b="1">
                <a:solidFill>
                  <a:schemeClr val="bg1"/>
                </a:solidFill>
              </a:rPr>
              <a:t> PASS</a:t>
            </a:r>
          </a:p>
        </xdr:txBody>
      </xdr:sp>
    </xdr:grpSp>
    <xdr:clientData/>
  </xdr:twoCellAnchor>
  <xdr:twoCellAnchor editAs="absolute">
    <xdr:from>
      <xdr:col>0</xdr:col>
      <xdr:colOff>570525</xdr:colOff>
      <xdr:row>0</xdr:row>
      <xdr:rowOff>139342</xdr:rowOff>
    </xdr:from>
    <xdr:to>
      <xdr:col>0</xdr:col>
      <xdr:colOff>1287702</xdr:colOff>
      <xdr:row>2</xdr:row>
      <xdr:rowOff>338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E8956849-C626-462B-B305-607CC504400E}"/>
            </a:ext>
          </a:extLst>
        </xdr:cNvPr>
        <xdr:cNvSpPr/>
      </xdr:nvSpPr>
      <xdr:spPr>
        <a:xfrm>
          <a:off x="570525" y="139342"/>
          <a:ext cx="717177" cy="70728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9525</xdr:colOff>
      <xdr:row>3</xdr:row>
      <xdr:rowOff>342900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7880412A-E76B-5120-0AE0-C6AE66BE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925"/>
          <a:ext cx="19621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inha" refreshedDate="46041.602751851853" createdVersion="8" refreshedVersion="8" minRefreshableVersion="3" recordCount="296" xr:uid="{E55D5CEE-6E16-4A75-BCAE-D4B3C6376D81}">
  <cacheSource type="worksheet">
    <worksheetSource ref="A1:M297" sheet="B̳ases"/>
  </cacheSource>
  <cacheFields count="13">
    <cacheField name="Sub+1:273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 pivotCacheId="20818245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  <r>
    <m/>
    <x v="280"/>
    <x v="3"/>
    <m/>
    <x v="2"/>
    <m/>
    <x v="3"/>
    <x v="2"/>
    <x v="2"/>
    <x v="2"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4059B-7856-4DA4-8FFF-D3AB298C1426}" name="Tbl_EA Seson Pass-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23:C27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310FD-7912-43B3-9E00-012C4D79C56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35:C39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Minecraft Season Pass2" fld="9" subtotal="count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C31A4-EF1A-48C9-AFCA-030E60082F6B}" name="TBL Anual-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3:C1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20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47797B0-9FAA-49EC-BC20-827B2795F04C}" sourceName="Subscription Type">
  <pivotTables>
    <pivotTable tabId="3" name="TBL Anual-Total"/>
    <pivotTable tabId="3" name="Tbl_EA Seson Pass-Total"/>
    <pivotTable tabId="3" name="Tabela dinâmica5"/>
  </pivotTables>
  <data>
    <tabular pivotCacheId="2081824575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E5BD7A0-5F97-48FA-B7EE-A860A0BA3441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5">
  <autoFilter ref="A1:M296" xr:uid="{34E0E886-4200-4B36-97B3-63DB74FF40A0}"/>
  <tableColumns count="13">
    <tableColumn id="1" xr3:uid="{C4A90516-688A-46BF-9167-EA16C2A8A652}" name="Sub+1:273scriber ID" dataDxfId="34"/>
    <tableColumn id="2" xr3:uid="{53DD39D0-2220-4121-9E9D-4EAA7E151C0F}" name="Name" dataDxfId="33"/>
    <tableColumn id="3" xr3:uid="{4F5FF271-4C57-4BE0-8F2C-F82C8551625C}" name="Plan" dataDxfId="32"/>
    <tableColumn id="4" xr3:uid="{8C17EB93-79B9-4E55-B8F7-BEB82F8253E9}" name="Start Date" dataDxfId="31"/>
    <tableColumn id="5" xr3:uid="{48CEDF9B-1689-482A-A828-5CCE7713264A}" name="Auto Renewal" dataDxfId="30"/>
    <tableColumn id="6" xr3:uid="{78B82374-9AA7-4E38-AE4F-78CDE6C83720}" name="Subscription Price" dataDxfId="29" dataCellStyle="Moeda"/>
    <tableColumn id="7" xr3:uid="{F2433F68-AF33-49D0-B1FB-19A396074EDE}" name="Subscription Type" dataDxfId="28"/>
    <tableColumn id="8" xr3:uid="{FD4D9C95-F6E5-4933-9068-A71FF7DF9343}" name="EA Play Season Pass" dataDxfId="27"/>
    <tableColumn id="13" xr3:uid="{978DD0D2-834E-4CE4-A39B-30976086932F}" name="EA Play Season Pass_x000a_Price" dataDxfId="26" dataCellStyle="Moeda"/>
    <tableColumn id="9" xr3:uid="{6E29F111-C395-4580-9DAD-3407D9E8B1A4}" name="Minecraft Season Pass" dataDxfId="25"/>
    <tableColumn id="10" xr3:uid="{EF544EAA-7F25-4FD5-A10E-8E62804DB9E3}" name="Minecraft Season Pass Price" dataDxfId="24" dataCellStyle="Moeda"/>
    <tableColumn id="11" xr3:uid="{7F6EB64A-1F07-4E48-9F0F-AC7D9DCD26F8}" name="Coupon Value" dataDxfId="23" dataCellStyle="Moeda"/>
    <tableColumn id="12" xr3:uid="{2B04ABC8-DE6F-426E-ADC0-D8AFC68CA58E}" name="Total Value" dataDxfId="2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U5" sqref="U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F1" zoomScale="70" zoomScaleNormal="7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312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5</v>
      </c>
      <c r="G10" s="8" t="s">
        <v>19</v>
      </c>
      <c r="H10" s="8" t="s">
        <v>22</v>
      </c>
      <c r="I10" s="11"/>
      <c r="J10" s="8" t="s">
        <v>18</v>
      </c>
      <c r="K10" s="11"/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10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22</v>
      </c>
      <c r="I22" s="11"/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319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5</v>
      </c>
      <c r="G28" s="8" t="s">
        <v>19</v>
      </c>
      <c r="H28" s="8" t="s">
        <v>22</v>
      </c>
      <c r="I28" s="11"/>
      <c r="J28" s="8" t="s">
        <v>18</v>
      </c>
      <c r="K28" s="11"/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10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22</v>
      </c>
      <c r="I38" s="11"/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5</v>
      </c>
      <c r="G44" s="8" t="s">
        <v>26</v>
      </c>
      <c r="H44" s="8" t="s">
        <v>18</v>
      </c>
      <c r="I44" s="11">
        <v>30</v>
      </c>
      <c r="J44" s="8" t="s">
        <v>18</v>
      </c>
      <c r="K44" s="11"/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10</v>
      </c>
      <c r="G50" s="8" t="s">
        <v>19</v>
      </c>
      <c r="H50" s="8" t="s">
        <v>22</v>
      </c>
      <c r="I50" s="11"/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22</v>
      </c>
      <c r="I56" s="11"/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5</v>
      </c>
      <c r="G62" s="8" t="s">
        <v>19</v>
      </c>
      <c r="H62" s="8" t="s">
        <v>18</v>
      </c>
      <c r="I62" s="11">
        <v>30</v>
      </c>
      <c r="J62" s="8" t="s">
        <v>18</v>
      </c>
      <c r="K62" s="11"/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10</v>
      </c>
      <c r="G71" s="8" t="s">
        <v>19</v>
      </c>
      <c r="H71" s="8" t="s">
        <v>22</v>
      </c>
      <c r="I71" s="11"/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22</v>
      </c>
      <c r="I77" s="11"/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5</v>
      </c>
      <c r="G83" s="8" t="s">
        <v>26</v>
      </c>
      <c r="H83" s="8" t="s">
        <v>18</v>
      </c>
      <c r="I83" s="11">
        <v>30</v>
      </c>
      <c r="J83" s="8" t="s">
        <v>18</v>
      </c>
      <c r="K83" s="11"/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10</v>
      </c>
      <c r="G89" s="8" t="s">
        <v>23</v>
      </c>
      <c r="H89" s="8" t="s">
        <v>22</v>
      </c>
      <c r="I89" s="11"/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22</v>
      </c>
      <c r="I95" s="11"/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5</v>
      </c>
      <c r="G101" s="8" t="s">
        <v>19</v>
      </c>
      <c r="H101" s="8" t="s">
        <v>18</v>
      </c>
      <c r="I101" s="11">
        <v>30</v>
      </c>
      <c r="J101" s="8" t="s">
        <v>18</v>
      </c>
      <c r="K101" s="11"/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10</v>
      </c>
      <c r="G108" s="8" t="s">
        <v>26</v>
      </c>
      <c r="H108" s="8" t="s">
        <v>22</v>
      </c>
      <c r="I108" s="11"/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22</v>
      </c>
      <c r="I114" s="11"/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5</v>
      </c>
      <c r="G120" s="8" t="s">
        <v>19</v>
      </c>
      <c r="H120" s="8" t="s">
        <v>18</v>
      </c>
      <c r="I120" s="11">
        <v>30</v>
      </c>
      <c r="J120" s="8" t="s">
        <v>18</v>
      </c>
      <c r="K120" s="11"/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10</v>
      </c>
      <c r="G126" s="8" t="s">
        <v>19</v>
      </c>
      <c r="H126" s="8" t="s">
        <v>22</v>
      </c>
      <c r="I126" s="11"/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22</v>
      </c>
      <c r="I132" s="11"/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5</v>
      </c>
      <c r="G138" s="8" t="s">
        <v>26</v>
      </c>
      <c r="H138" s="8" t="s">
        <v>18</v>
      </c>
      <c r="I138" s="11">
        <v>30</v>
      </c>
      <c r="J138" s="8" t="s">
        <v>18</v>
      </c>
      <c r="K138" s="11"/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10</v>
      </c>
      <c r="G144" s="8" t="s">
        <v>26</v>
      </c>
      <c r="H144" s="8" t="s">
        <v>22</v>
      </c>
      <c r="I144" s="11"/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22</v>
      </c>
      <c r="I150" s="11"/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5</v>
      </c>
      <c r="G156" s="8" t="s">
        <v>19</v>
      </c>
      <c r="H156" s="8" t="s">
        <v>18</v>
      </c>
      <c r="I156" s="11">
        <v>30</v>
      </c>
      <c r="J156" s="8" t="s">
        <v>18</v>
      </c>
      <c r="K156" s="11"/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10</v>
      </c>
      <c r="G162" s="8" t="s">
        <v>19</v>
      </c>
      <c r="H162" s="8" t="s">
        <v>22</v>
      </c>
      <c r="I162" s="11"/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22</v>
      </c>
      <c r="I168" s="11"/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5</v>
      </c>
      <c r="G174" s="8" t="s">
        <v>19</v>
      </c>
      <c r="H174" s="8" t="s">
        <v>18</v>
      </c>
      <c r="I174" s="11">
        <v>30</v>
      </c>
      <c r="J174" s="8" t="s">
        <v>18</v>
      </c>
      <c r="K174" s="11"/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10</v>
      </c>
      <c r="G178" s="8" t="s">
        <v>26</v>
      </c>
      <c r="H178" s="8" t="s">
        <v>22</v>
      </c>
      <c r="I178" s="11"/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22</v>
      </c>
      <c r="I184" s="11"/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5</v>
      </c>
      <c r="G190" s="8" t="s">
        <v>19</v>
      </c>
      <c r="H190" s="8" t="s">
        <v>18</v>
      </c>
      <c r="I190" s="11">
        <v>30</v>
      </c>
      <c r="J190" s="8" t="s">
        <v>18</v>
      </c>
      <c r="K190" s="11"/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10</v>
      </c>
      <c r="G196" s="8" t="s">
        <v>19</v>
      </c>
      <c r="H196" s="8" t="s">
        <v>22</v>
      </c>
      <c r="I196" s="11"/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22</v>
      </c>
      <c r="I202" s="11"/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5</v>
      </c>
      <c r="G208" s="8" t="s">
        <v>26</v>
      </c>
      <c r="H208" s="8" t="s">
        <v>18</v>
      </c>
      <c r="I208" s="11">
        <v>30</v>
      </c>
      <c r="J208" s="8" t="s">
        <v>18</v>
      </c>
      <c r="K208" s="11"/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10</v>
      </c>
      <c r="G214" s="8" t="s">
        <v>26</v>
      </c>
      <c r="H214" s="8" t="s">
        <v>22</v>
      </c>
      <c r="I214" s="11"/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22</v>
      </c>
      <c r="I220" s="11"/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5</v>
      </c>
      <c r="G226" s="8" t="s">
        <v>19</v>
      </c>
      <c r="H226" s="8" t="s">
        <v>18</v>
      </c>
      <c r="I226" s="11">
        <v>30</v>
      </c>
      <c r="J226" s="8" t="s">
        <v>18</v>
      </c>
      <c r="K226" s="11"/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10</v>
      </c>
      <c r="G232" s="8" t="s">
        <v>19</v>
      </c>
      <c r="H232" s="8" t="s">
        <v>22</v>
      </c>
      <c r="I232" s="11"/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22</v>
      </c>
      <c r="I238" s="11"/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5</v>
      </c>
      <c r="G244" s="8" t="s">
        <v>19</v>
      </c>
      <c r="H244" s="8" t="s">
        <v>18</v>
      </c>
      <c r="I244" s="11">
        <v>30</v>
      </c>
      <c r="J244" s="8" t="s">
        <v>18</v>
      </c>
      <c r="K244" s="11"/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10</v>
      </c>
      <c r="G250" s="8" t="s">
        <v>19</v>
      </c>
      <c r="H250" s="8" t="s">
        <v>22</v>
      </c>
      <c r="I250" s="11"/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22</v>
      </c>
      <c r="I256" s="11"/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5</v>
      </c>
      <c r="G258" s="8" t="s">
        <v>26</v>
      </c>
      <c r="H258" s="8" t="s">
        <v>18</v>
      </c>
      <c r="I258" s="11">
        <v>30</v>
      </c>
      <c r="J258" s="8" t="s">
        <v>18</v>
      </c>
      <c r="K258" s="11"/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10</v>
      </c>
      <c r="G264" s="8" t="s">
        <v>26</v>
      </c>
      <c r="H264" s="8" t="s">
        <v>22</v>
      </c>
      <c r="I264" s="11"/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22</v>
      </c>
      <c r="I270" s="11"/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5</v>
      </c>
      <c r="G276" s="8" t="s">
        <v>19</v>
      </c>
      <c r="H276" s="8" t="s">
        <v>18</v>
      </c>
      <c r="I276" s="11">
        <v>30</v>
      </c>
      <c r="J276" s="8" t="s">
        <v>18</v>
      </c>
      <c r="K276" s="11"/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10</v>
      </c>
      <c r="G282" s="8" t="s">
        <v>19</v>
      </c>
      <c r="H282" s="8" t="s">
        <v>22</v>
      </c>
      <c r="I282" s="11"/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22</v>
      </c>
      <c r="I288" s="11"/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5</v>
      </c>
      <c r="G294" s="8" t="s">
        <v>19</v>
      </c>
      <c r="H294" s="8" t="s">
        <v>18</v>
      </c>
      <c r="I294" s="11">
        <v>30</v>
      </c>
      <c r="J294" s="8" t="s">
        <v>18</v>
      </c>
      <c r="K294" s="11"/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40"/>
  <sheetViews>
    <sheetView showGridLines="0" topLeftCell="A8" workbookViewId="0">
      <selection activeCell="B8" sqref="B8"/>
    </sheetView>
  </sheetViews>
  <sheetFormatPr defaultRowHeight="15" x14ac:dyDescent="0.25"/>
  <cols>
    <col min="2" max="2" width="18.42578125" bestFit="1" customWidth="1"/>
    <col min="3" max="4" width="35.42578125" bestFit="1" customWidth="1"/>
    <col min="5" max="5" width="30.5703125" bestFit="1" customWidth="1"/>
    <col min="6" max="6" width="6.28515625" customWidth="1"/>
    <col min="7" max="7" width="19.140625" bestFit="1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1" spans="2:5" ht="24" x14ac:dyDescent="0.4">
      <c r="B1" s="12" t="s">
        <v>313</v>
      </c>
      <c r="C1" s="12"/>
      <c r="D1" s="12"/>
      <c r="E1" s="12"/>
    </row>
    <row r="3" spans="2:5" ht="24" x14ac:dyDescent="0.4">
      <c r="B3" s="12" t="s">
        <v>314</v>
      </c>
      <c r="C3" s="12"/>
      <c r="D3" s="12"/>
      <c r="E3" s="12"/>
    </row>
    <row r="5" spans="2:5" x14ac:dyDescent="0.25">
      <c r="B5" t="s">
        <v>320</v>
      </c>
    </row>
    <row r="7" spans="2:5" x14ac:dyDescent="0.25">
      <c r="B7" t="s">
        <v>318</v>
      </c>
    </row>
    <row r="11" spans="2:5" x14ac:dyDescent="0.25">
      <c r="B11" s="13" t="s">
        <v>15</v>
      </c>
      <c r="C11" t="s">
        <v>26</v>
      </c>
    </row>
    <row r="13" spans="2:5" x14ac:dyDescent="0.25">
      <c r="B13" s="13" t="s">
        <v>315</v>
      </c>
      <c r="C13" t="s">
        <v>317</v>
      </c>
    </row>
    <row r="14" spans="2:5" x14ac:dyDescent="0.25">
      <c r="B14" s="14" t="s">
        <v>22</v>
      </c>
      <c r="C14" s="15">
        <v>806</v>
      </c>
    </row>
    <row r="15" spans="2:5" x14ac:dyDescent="0.25">
      <c r="B15" s="14" t="s">
        <v>18</v>
      </c>
      <c r="C15" s="15">
        <v>1502</v>
      </c>
    </row>
    <row r="16" spans="2:5" x14ac:dyDescent="0.25">
      <c r="B16" s="14" t="s">
        <v>316</v>
      </c>
      <c r="C16" s="15">
        <v>2308</v>
      </c>
    </row>
    <row r="18" spans="2:4" x14ac:dyDescent="0.25">
      <c r="B18" s="14"/>
      <c r="C18" s="15"/>
    </row>
    <row r="19" spans="2:4" x14ac:dyDescent="0.25">
      <c r="B19" s="14" t="s">
        <v>321</v>
      </c>
    </row>
    <row r="21" spans="2:4" x14ac:dyDescent="0.25">
      <c r="B21" s="13" t="s">
        <v>15</v>
      </c>
      <c r="C21" t="s">
        <v>26</v>
      </c>
    </row>
    <row r="23" spans="2:4" x14ac:dyDescent="0.25">
      <c r="B23" s="13" t="s">
        <v>315</v>
      </c>
      <c r="C23" t="s">
        <v>322</v>
      </c>
    </row>
    <row r="24" spans="2:4" x14ac:dyDescent="0.25">
      <c r="B24" s="14" t="s">
        <v>21</v>
      </c>
      <c r="C24" s="15">
        <v>0</v>
      </c>
    </row>
    <row r="25" spans="2:4" x14ac:dyDescent="0.25">
      <c r="B25" s="14" t="s">
        <v>25</v>
      </c>
      <c r="C25" s="15">
        <v>0</v>
      </c>
    </row>
    <row r="26" spans="2:4" x14ac:dyDescent="0.25">
      <c r="B26" s="14" t="s">
        <v>17</v>
      </c>
      <c r="C26" s="15">
        <v>990</v>
      </c>
      <c r="D26" s="15">
        <f>GETPIVOTDATA("EA Play Season Pass
Price",$B$23)</f>
        <v>990</v>
      </c>
    </row>
    <row r="27" spans="2:4" x14ac:dyDescent="0.25">
      <c r="B27" s="14" t="s">
        <v>316</v>
      </c>
      <c r="C27" s="15">
        <v>990</v>
      </c>
    </row>
    <row r="30" spans="2:4" x14ac:dyDescent="0.25">
      <c r="B30" s="14" t="s">
        <v>323</v>
      </c>
    </row>
    <row r="33" spans="2:4" x14ac:dyDescent="0.25">
      <c r="B33" s="13" t="s">
        <v>15</v>
      </c>
      <c r="C33" t="s">
        <v>26</v>
      </c>
    </row>
    <row r="35" spans="2:4" x14ac:dyDescent="0.25">
      <c r="B35" s="13" t="s">
        <v>315</v>
      </c>
      <c r="C35" t="s">
        <v>324</v>
      </c>
    </row>
    <row r="36" spans="2:4" x14ac:dyDescent="0.25">
      <c r="B36" s="14" t="s">
        <v>21</v>
      </c>
      <c r="C36" s="15">
        <v>28</v>
      </c>
    </row>
    <row r="37" spans="2:4" x14ac:dyDescent="0.25">
      <c r="B37" s="14" t="s">
        <v>25</v>
      </c>
      <c r="C37" s="15">
        <v>24</v>
      </c>
    </row>
    <row r="38" spans="2:4" x14ac:dyDescent="0.25">
      <c r="B38" s="14" t="s">
        <v>17</v>
      </c>
      <c r="C38" s="15">
        <v>33</v>
      </c>
    </row>
    <row r="39" spans="2:4" x14ac:dyDescent="0.25">
      <c r="B39" s="14" t="s">
        <v>316</v>
      </c>
      <c r="C39" s="15">
        <v>85</v>
      </c>
    </row>
    <row r="40" spans="2:4" x14ac:dyDescent="0.25">
      <c r="D40" s="15">
        <f>GETPIVOTDATA("Minecraft Season Pass",$B$35)</f>
        <v>85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140"/>
  <sheetViews>
    <sheetView showGridLines="0" tabSelected="1" topLeftCell="A2" zoomScale="85" zoomScaleNormal="85" workbookViewId="0">
      <selection activeCell="C4" sqref="C4"/>
    </sheetView>
  </sheetViews>
  <sheetFormatPr defaultRowHeight="15" x14ac:dyDescent="0.25"/>
  <cols>
    <col min="1" max="1" width="29.28515625" style="4" customWidth="1"/>
    <col min="2" max="2" width="2.5703125" style="20" customWidth="1"/>
    <col min="3" max="3" width="19.28515625" customWidth="1"/>
    <col min="4" max="4" width="25.42578125" customWidth="1"/>
    <col min="13" max="13" width="6.5703125" customWidth="1"/>
    <col min="21" max="21" width="5.5703125" customWidth="1"/>
  </cols>
  <sheetData>
    <row r="1" spans="1:21" ht="28.5" customHeight="1" x14ac:dyDescent="0.25"/>
    <row r="2" spans="1:21" ht="38.25" customHeight="1" thickBot="1" x14ac:dyDescent="0.55000000000000004">
      <c r="A2" s="4" t="s">
        <v>326</v>
      </c>
      <c r="C2" s="19" t="s">
        <v>325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8"/>
      <c r="P2" s="18"/>
      <c r="Q2" s="18"/>
      <c r="R2" s="18"/>
      <c r="S2" s="18"/>
      <c r="T2" s="18"/>
      <c r="U2" s="18"/>
    </row>
    <row r="3" spans="1:21" ht="6" customHeight="1" thickTop="1" x14ac:dyDescent="0.35"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 s="7" customFormat="1" ht="33.75" customHeight="1" x14ac:dyDescent="0.25">
      <c r="A4" s="23" t="s">
        <v>327</v>
      </c>
      <c r="B4" s="20"/>
      <c r="C4" s="24" t="s">
        <v>328</v>
      </c>
    </row>
    <row r="5" spans="1:21" s="7" customFormat="1" ht="50.25" customHeight="1" x14ac:dyDescent="0.25">
      <c r="A5" s="4"/>
      <c r="B5" s="20"/>
    </row>
    <row r="6" spans="1:21" s="7" customFormat="1" ht="7.5" customHeight="1" x14ac:dyDescent="0.25">
      <c r="A6" s="4"/>
      <c r="B6" s="20"/>
    </row>
    <row r="7" spans="1:21" s="7" customFormat="1" ht="10.5" customHeight="1" x14ac:dyDescent="0.25">
      <c r="A7" s="4"/>
      <c r="B7" s="20"/>
    </row>
    <row r="8" spans="1:21" s="7" customFormat="1" ht="9.75" customHeight="1" x14ac:dyDescent="0.25">
      <c r="A8" s="4"/>
      <c r="B8" s="20"/>
    </row>
    <row r="9" spans="1:21" s="7" customFormat="1" ht="33" customHeight="1" x14ac:dyDescent="0.25">
      <c r="A9" s="4"/>
      <c r="B9" s="20"/>
    </row>
    <row r="10" spans="1:21" s="7" customFormat="1" x14ac:dyDescent="0.25">
      <c r="A10" s="4"/>
      <c r="B10" s="20"/>
    </row>
    <row r="11" spans="1:21" s="7" customFormat="1" x14ac:dyDescent="0.25">
      <c r="A11" s="4"/>
      <c r="B11" s="20"/>
    </row>
    <row r="12" spans="1:21" s="7" customFormat="1" x14ac:dyDescent="0.25">
      <c r="A12" s="4"/>
      <c r="B12" s="20"/>
    </row>
    <row r="13" spans="1:21" s="7" customFormat="1" x14ac:dyDescent="0.25">
      <c r="A13" s="4"/>
      <c r="B13" s="20"/>
    </row>
    <row r="14" spans="1:21" s="7" customFormat="1" x14ac:dyDescent="0.25">
      <c r="A14" s="4"/>
      <c r="B14" s="20"/>
    </row>
    <row r="15" spans="1:21" s="7" customFormat="1" x14ac:dyDescent="0.25">
      <c r="A15" s="4"/>
      <c r="B15" s="20"/>
    </row>
    <row r="16" spans="1:21" s="7" customFormat="1" x14ac:dyDescent="0.25">
      <c r="A16" s="4"/>
      <c r="B16" s="20"/>
    </row>
    <row r="17" spans="1:4" s="7" customFormat="1" x14ac:dyDescent="0.25">
      <c r="A17" s="4"/>
      <c r="B17" s="20"/>
    </row>
    <row r="18" spans="1:4" s="7" customFormat="1" x14ac:dyDescent="0.25">
      <c r="A18" s="4"/>
      <c r="B18" s="20"/>
    </row>
    <row r="19" spans="1:4" s="7" customFormat="1" x14ac:dyDescent="0.25">
      <c r="A19" s="4"/>
      <c r="B19" s="20"/>
    </row>
    <row r="20" spans="1:4" s="7" customFormat="1" x14ac:dyDescent="0.25">
      <c r="A20" s="4"/>
      <c r="B20" s="20"/>
    </row>
    <row r="21" spans="1:4" s="7" customFormat="1" ht="21" x14ac:dyDescent="0.35">
      <c r="A21" s="4"/>
      <c r="B21" s="20"/>
      <c r="D21" s="17"/>
    </row>
    <row r="22" spans="1:4" s="7" customFormat="1" x14ac:dyDescent="0.25">
      <c r="A22" s="4"/>
      <c r="B22" s="20"/>
    </row>
    <row r="23" spans="1:4" s="7" customFormat="1" x14ac:dyDescent="0.25">
      <c r="A23" s="4"/>
      <c r="B23" s="20"/>
    </row>
    <row r="24" spans="1:4" s="7" customFormat="1" x14ac:dyDescent="0.25">
      <c r="A24" s="4"/>
      <c r="B24" s="20"/>
    </row>
    <row r="25" spans="1:4" s="7" customFormat="1" x14ac:dyDescent="0.25">
      <c r="A25" s="4"/>
      <c r="B25" s="20"/>
    </row>
    <row r="26" spans="1:4" s="7" customFormat="1" x14ac:dyDescent="0.25">
      <c r="A26" s="4"/>
      <c r="B26" s="20"/>
    </row>
    <row r="27" spans="1:4" s="7" customFormat="1" x14ac:dyDescent="0.25">
      <c r="A27" s="4"/>
      <c r="B27" s="20"/>
    </row>
    <row r="28" spans="1:4" s="7" customFormat="1" x14ac:dyDescent="0.25">
      <c r="A28" s="4"/>
      <c r="B28" s="20"/>
    </row>
    <row r="29" spans="1:4" s="7" customFormat="1" x14ac:dyDescent="0.25">
      <c r="A29" s="4"/>
      <c r="B29" s="20"/>
    </row>
    <row r="30" spans="1:4" s="7" customFormat="1" x14ac:dyDescent="0.25">
      <c r="A30" s="4"/>
      <c r="B30" s="20"/>
    </row>
    <row r="31" spans="1:4" s="7" customFormat="1" x14ac:dyDescent="0.25">
      <c r="A31" s="4"/>
      <c r="B31" s="20"/>
    </row>
    <row r="32" spans="1:4" s="7" customFormat="1" x14ac:dyDescent="0.25">
      <c r="A32" s="4"/>
      <c r="B32" s="20"/>
    </row>
    <row r="33" spans="1:2" s="7" customFormat="1" x14ac:dyDescent="0.25">
      <c r="A33" s="4"/>
      <c r="B33" s="20"/>
    </row>
    <row r="34" spans="1:2" s="7" customFormat="1" x14ac:dyDescent="0.25">
      <c r="A34" s="4"/>
      <c r="B34" s="20"/>
    </row>
    <row r="35" spans="1:2" s="7" customFormat="1" x14ac:dyDescent="0.25">
      <c r="A35" s="4"/>
      <c r="B35" s="20"/>
    </row>
    <row r="36" spans="1:2" s="7" customFormat="1" x14ac:dyDescent="0.25">
      <c r="A36" s="4"/>
      <c r="B36" s="20"/>
    </row>
    <row r="37" spans="1:2" s="7" customFormat="1" x14ac:dyDescent="0.25">
      <c r="A37" s="4"/>
      <c r="B37" s="20"/>
    </row>
    <row r="38" spans="1:2" s="7" customFormat="1" x14ac:dyDescent="0.25">
      <c r="A38" s="4"/>
      <c r="B38" s="20"/>
    </row>
    <row r="39" spans="1:2" s="7" customFormat="1" x14ac:dyDescent="0.25">
      <c r="A39" s="4"/>
      <c r="B39" s="20"/>
    </row>
    <row r="40" spans="1:2" s="7" customFormat="1" x14ac:dyDescent="0.25">
      <c r="A40" s="4"/>
      <c r="B40" s="20"/>
    </row>
    <row r="41" spans="1:2" s="7" customFormat="1" x14ac:dyDescent="0.25">
      <c r="A41" s="4"/>
      <c r="B41" s="20"/>
    </row>
    <row r="42" spans="1:2" s="7" customFormat="1" x14ac:dyDescent="0.25">
      <c r="A42" s="4"/>
      <c r="B42" s="20"/>
    </row>
    <row r="43" spans="1:2" s="7" customFormat="1" x14ac:dyDescent="0.25">
      <c r="A43" s="4"/>
      <c r="B43" s="20"/>
    </row>
    <row r="44" spans="1:2" s="7" customFormat="1" x14ac:dyDescent="0.25">
      <c r="A44" s="4"/>
      <c r="B44" s="20"/>
    </row>
    <row r="45" spans="1:2" s="7" customFormat="1" x14ac:dyDescent="0.25">
      <c r="A45" s="4"/>
      <c r="B45" s="20"/>
    </row>
    <row r="46" spans="1:2" s="7" customFormat="1" x14ac:dyDescent="0.25">
      <c r="A46" s="4"/>
      <c r="B46" s="20"/>
    </row>
    <row r="47" spans="1:2" s="7" customFormat="1" x14ac:dyDescent="0.25">
      <c r="A47" s="4"/>
      <c r="B47" s="20"/>
    </row>
    <row r="48" spans="1:2" s="7" customFormat="1" x14ac:dyDescent="0.25">
      <c r="A48" s="4"/>
      <c r="B48" s="20"/>
    </row>
    <row r="49" spans="1:2" s="7" customFormat="1" x14ac:dyDescent="0.25">
      <c r="A49" s="4"/>
      <c r="B49" s="20"/>
    </row>
    <row r="50" spans="1:2" s="7" customFormat="1" x14ac:dyDescent="0.25">
      <c r="A50" s="4"/>
      <c r="B50" s="20"/>
    </row>
    <row r="51" spans="1:2" s="7" customFormat="1" x14ac:dyDescent="0.25">
      <c r="A51" s="4"/>
      <c r="B51" s="20"/>
    </row>
    <row r="52" spans="1:2" s="7" customFormat="1" x14ac:dyDescent="0.25">
      <c r="A52" s="4"/>
      <c r="B52" s="20"/>
    </row>
    <row r="53" spans="1:2" s="7" customFormat="1" x14ac:dyDescent="0.25">
      <c r="A53" s="4"/>
      <c r="B53" s="20"/>
    </row>
    <row r="54" spans="1:2" s="7" customFormat="1" x14ac:dyDescent="0.25">
      <c r="A54" s="4"/>
      <c r="B54" s="20"/>
    </row>
    <row r="55" spans="1:2" s="7" customFormat="1" x14ac:dyDescent="0.25">
      <c r="A55" s="4"/>
      <c r="B55" s="20"/>
    </row>
    <row r="56" spans="1:2" s="7" customFormat="1" x14ac:dyDescent="0.25">
      <c r="A56" s="4"/>
      <c r="B56" s="20"/>
    </row>
    <row r="57" spans="1:2" s="7" customFormat="1" x14ac:dyDescent="0.25">
      <c r="A57" s="4"/>
      <c r="B57" s="20"/>
    </row>
    <row r="58" spans="1:2" s="7" customFormat="1" x14ac:dyDescent="0.25">
      <c r="A58" s="4"/>
      <c r="B58" s="20"/>
    </row>
    <row r="59" spans="1:2" s="7" customFormat="1" x14ac:dyDescent="0.25">
      <c r="A59" s="4"/>
      <c r="B59" s="20"/>
    </row>
    <row r="60" spans="1:2" s="7" customFormat="1" x14ac:dyDescent="0.25">
      <c r="A60" s="4"/>
      <c r="B60" s="20"/>
    </row>
    <row r="61" spans="1:2" s="7" customFormat="1" x14ac:dyDescent="0.25">
      <c r="A61" s="4"/>
      <c r="B61" s="20"/>
    </row>
    <row r="62" spans="1:2" s="7" customFormat="1" x14ac:dyDescent="0.25">
      <c r="A62" s="4"/>
      <c r="B62" s="20"/>
    </row>
    <row r="63" spans="1:2" s="7" customFormat="1" x14ac:dyDescent="0.25">
      <c r="A63" s="4"/>
      <c r="B63" s="20"/>
    </row>
    <row r="64" spans="1:2" s="7" customFormat="1" x14ac:dyDescent="0.25">
      <c r="A64" s="4"/>
      <c r="B64" s="20"/>
    </row>
    <row r="65" spans="1:2" s="7" customFormat="1" x14ac:dyDescent="0.25">
      <c r="A65" s="4"/>
      <c r="B65" s="20"/>
    </row>
    <row r="66" spans="1:2" s="7" customFormat="1" x14ac:dyDescent="0.25">
      <c r="A66" s="4"/>
      <c r="B66" s="20"/>
    </row>
    <row r="67" spans="1:2" s="7" customFormat="1" x14ac:dyDescent="0.25">
      <c r="A67" s="4"/>
      <c r="B67" s="20"/>
    </row>
    <row r="68" spans="1:2" s="7" customFormat="1" x14ac:dyDescent="0.25">
      <c r="A68" s="4"/>
      <c r="B68" s="20"/>
    </row>
    <row r="69" spans="1:2" s="7" customFormat="1" x14ac:dyDescent="0.25">
      <c r="A69" s="4"/>
      <c r="B69" s="20"/>
    </row>
    <row r="70" spans="1:2" s="7" customFormat="1" x14ac:dyDescent="0.25">
      <c r="A70" s="4"/>
      <c r="B70" s="20"/>
    </row>
    <row r="71" spans="1:2" s="7" customFormat="1" x14ac:dyDescent="0.25">
      <c r="A71" s="4"/>
      <c r="B71" s="20"/>
    </row>
    <row r="72" spans="1:2" s="7" customFormat="1" x14ac:dyDescent="0.25">
      <c r="A72" s="4"/>
      <c r="B72" s="20"/>
    </row>
    <row r="73" spans="1:2" s="7" customFormat="1" x14ac:dyDescent="0.25">
      <c r="A73" s="4"/>
      <c r="B73" s="20"/>
    </row>
    <row r="74" spans="1:2" s="7" customFormat="1" x14ac:dyDescent="0.25">
      <c r="A74" s="4"/>
      <c r="B74" s="20"/>
    </row>
    <row r="75" spans="1:2" s="7" customFormat="1" x14ac:dyDescent="0.25">
      <c r="A75" s="4"/>
      <c r="B75" s="20"/>
    </row>
    <row r="76" spans="1:2" s="7" customFormat="1" x14ac:dyDescent="0.25">
      <c r="A76" s="4"/>
      <c r="B76" s="20"/>
    </row>
    <row r="77" spans="1:2" s="7" customFormat="1" x14ac:dyDescent="0.25">
      <c r="A77" s="4"/>
      <c r="B77" s="20"/>
    </row>
    <row r="78" spans="1:2" s="7" customFormat="1" x14ac:dyDescent="0.25">
      <c r="A78" s="4"/>
      <c r="B78" s="20"/>
    </row>
    <row r="79" spans="1:2" s="7" customFormat="1" x14ac:dyDescent="0.25">
      <c r="A79" s="4"/>
      <c r="B79" s="20"/>
    </row>
    <row r="80" spans="1:2" s="7" customFormat="1" x14ac:dyDescent="0.25">
      <c r="A80" s="4"/>
      <c r="B80" s="20"/>
    </row>
    <row r="81" spans="1:2" s="7" customFormat="1" x14ac:dyDescent="0.25">
      <c r="A81" s="4"/>
      <c r="B81" s="20"/>
    </row>
    <row r="82" spans="1:2" s="7" customFormat="1" x14ac:dyDescent="0.25">
      <c r="A82" s="4"/>
      <c r="B82" s="20"/>
    </row>
    <row r="83" spans="1:2" s="7" customFormat="1" x14ac:dyDescent="0.25">
      <c r="A83" s="4"/>
      <c r="B83" s="20"/>
    </row>
    <row r="84" spans="1:2" s="7" customFormat="1" x14ac:dyDescent="0.25">
      <c r="A84" s="4"/>
      <c r="B84" s="20"/>
    </row>
    <row r="85" spans="1:2" s="7" customFormat="1" x14ac:dyDescent="0.25">
      <c r="A85" s="4"/>
      <c r="B85" s="20"/>
    </row>
    <row r="86" spans="1:2" s="7" customFormat="1" x14ac:dyDescent="0.25">
      <c r="A86" s="4"/>
      <c r="B86" s="20"/>
    </row>
    <row r="87" spans="1:2" s="7" customFormat="1" x14ac:dyDescent="0.25">
      <c r="A87" s="4"/>
      <c r="B87" s="20"/>
    </row>
    <row r="88" spans="1:2" s="7" customFormat="1" x14ac:dyDescent="0.25">
      <c r="A88" s="4"/>
      <c r="B88" s="20"/>
    </row>
    <row r="89" spans="1:2" s="7" customFormat="1" x14ac:dyDescent="0.25">
      <c r="A89" s="4"/>
      <c r="B89" s="20"/>
    </row>
    <row r="90" spans="1:2" s="7" customFormat="1" x14ac:dyDescent="0.25">
      <c r="A90" s="4"/>
      <c r="B90" s="20"/>
    </row>
    <row r="91" spans="1:2" s="7" customFormat="1" x14ac:dyDescent="0.25">
      <c r="A91" s="4"/>
      <c r="B91" s="20"/>
    </row>
    <row r="92" spans="1:2" s="7" customFormat="1" x14ac:dyDescent="0.25">
      <c r="A92" s="4"/>
      <c r="B92" s="20"/>
    </row>
    <row r="93" spans="1:2" s="7" customFormat="1" x14ac:dyDescent="0.25">
      <c r="A93" s="4"/>
      <c r="B93" s="20"/>
    </row>
    <row r="94" spans="1:2" s="7" customFormat="1" x14ac:dyDescent="0.25">
      <c r="A94" s="4"/>
      <c r="B94" s="20"/>
    </row>
    <row r="95" spans="1:2" s="7" customFormat="1" x14ac:dyDescent="0.25">
      <c r="A95" s="4"/>
      <c r="B95" s="20"/>
    </row>
    <row r="96" spans="1:2" s="7" customFormat="1" x14ac:dyDescent="0.25">
      <c r="A96" s="4"/>
      <c r="B96" s="20"/>
    </row>
    <row r="97" spans="1:2" s="7" customFormat="1" x14ac:dyDescent="0.25">
      <c r="A97" s="4"/>
      <c r="B97" s="20"/>
    </row>
    <row r="98" spans="1:2" s="7" customFormat="1" x14ac:dyDescent="0.25">
      <c r="A98" s="4"/>
      <c r="B98" s="20"/>
    </row>
    <row r="99" spans="1:2" s="7" customFormat="1" x14ac:dyDescent="0.25">
      <c r="A99" s="4"/>
      <c r="B99" s="20"/>
    </row>
    <row r="100" spans="1:2" s="7" customFormat="1" x14ac:dyDescent="0.25">
      <c r="A100" s="4"/>
      <c r="B100" s="20"/>
    </row>
    <row r="101" spans="1:2" s="7" customFormat="1" x14ac:dyDescent="0.25">
      <c r="A101" s="4"/>
      <c r="B101" s="20"/>
    </row>
    <row r="102" spans="1:2" s="7" customFormat="1" x14ac:dyDescent="0.25">
      <c r="A102" s="4"/>
      <c r="B102" s="20"/>
    </row>
    <row r="103" spans="1:2" s="7" customFormat="1" x14ac:dyDescent="0.25">
      <c r="A103" s="4"/>
      <c r="B103" s="20"/>
    </row>
    <row r="104" spans="1:2" s="7" customFormat="1" x14ac:dyDescent="0.25">
      <c r="A104" s="4"/>
      <c r="B104" s="20"/>
    </row>
    <row r="105" spans="1:2" s="7" customFormat="1" x14ac:dyDescent="0.25">
      <c r="A105" s="4"/>
      <c r="B105" s="20"/>
    </row>
    <row r="106" spans="1:2" s="7" customFormat="1" x14ac:dyDescent="0.25">
      <c r="A106" s="4"/>
      <c r="B106" s="20"/>
    </row>
    <row r="107" spans="1:2" s="7" customFormat="1" x14ac:dyDescent="0.25">
      <c r="A107" s="4"/>
      <c r="B107" s="20"/>
    </row>
    <row r="108" spans="1:2" s="7" customFormat="1" x14ac:dyDescent="0.25">
      <c r="A108" s="4"/>
      <c r="B108" s="20"/>
    </row>
    <row r="109" spans="1:2" s="7" customFormat="1" x14ac:dyDescent="0.25">
      <c r="A109" s="4"/>
      <c r="B109" s="20"/>
    </row>
    <row r="110" spans="1:2" s="7" customFormat="1" x14ac:dyDescent="0.25">
      <c r="A110" s="4"/>
      <c r="B110" s="20"/>
    </row>
    <row r="111" spans="1:2" s="7" customFormat="1" x14ac:dyDescent="0.25">
      <c r="A111" s="4"/>
      <c r="B111" s="20"/>
    </row>
    <row r="112" spans="1:2" s="7" customFormat="1" x14ac:dyDescent="0.25">
      <c r="A112" s="4"/>
      <c r="B112" s="20"/>
    </row>
    <row r="113" spans="1:2" s="7" customFormat="1" x14ac:dyDescent="0.25">
      <c r="A113" s="4"/>
      <c r="B113" s="20"/>
    </row>
    <row r="114" spans="1:2" s="7" customFormat="1" x14ac:dyDescent="0.25">
      <c r="A114" s="4"/>
      <c r="B114" s="20"/>
    </row>
    <row r="115" spans="1:2" s="7" customFormat="1" x14ac:dyDescent="0.25">
      <c r="A115" s="4"/>
      <c r="B115" s="20"/>
    </row>
    <row r="116" spans="1:2" s="7" customFormat="1" x14ac:dyDescent="0.25">
      <c r="A116" s="4"/>
      <c r="B116" s="20"/>
    </row>
    <row r="117" spans="1:2" s="7" customFormat="1" x14ac:dyDescent="0.25">
      <c r="A117" s="4"/>
      <c r="B117" s="20"/>
    </row>
    <row r="118" spans="1:2" s="7" customFormat="1" x14ac:dyDescent="0.25">
      <c r="A118" s="4"/>
      <c r="B118" s="20"/>
    </row>
    <row r="119" spans="1:2" s="7" customFormat="1" x14ac:dyDescent="0.25">
      <c r="A119" s="4"/>
      <c r="B119" s="20"/>
    </row>
    <row r="120" spans="1:2" s="7" customFormat="1" x14ac:dyDescent="0.25">
      <c r="A120" s="4"/>
      <c r="B120" s="20"/>
    </row>
    <row r="121" spans="1:2" s="7" customFormat="1" x14ac:dyDescent="0.25">
      <c r="A121" s="4"/>
      <c r="B121" s="20"/>
    </row>
    <row r="122" spans="1:2" s="7" customFormat="1" x14ac:dyDescent="0.25">
      <c r="A122" s="4"/>
      <c r="B122" s="20"/>
    </row>
    <row r="123" spans="1:2" s="7" customFormat="1" x14ac:dyDescent="0.25">
      <c r="A123" s="4"/>
      <c r="B123" s="20"/>
    </row>
    <row r="124" spans="1:2" s="7" customFormat="1" x14ac:dyDescent="0.25">
      <c r="A124" s="4"/>
      <c r="B124" s="20"/>
    </row>
    <row r="125" spans="1:2" s="7" customFormat="1" x14ac:dyDescent="0.25">
      <c r="A125" s="4"/>
      <c r="B125" s="20"/>
    </row>
    <row r="126" spans="1:2" s="7" customFormat="1" x14ac:dyDescent="0.25">
      <c r="A126" s="4"/>
      <c r="B126" s="20"/>
    </row>
    <row r="127" spans="1:2" s="7" customFormat="1" x14ac:dyDescent="0.25">
      <c r="A127" s="4"/>
      <c r="B127" s="20"/>
    </row>
    <row r="128" spans="1:2" s="7" customFormat="1" x14ac:dyDescent="0.25">
      <c r="A128" s="4"/>
      <c r="B128" s="20"/>
    </row>
    <row r="129" spans="1:2" s="7" customFormat="1" x14ac:dyDescent="0.25">
      <c r="A129" s="4"/>
      <c r="B129" s="20"/>
    </row>
    <row r="130" spans="1:2" s="7" customFormat="1" x14ac:dyDescent="0.25">
      <c r="A130" s="4"/>
      <c r="B130" s="20"/>
    </row>
    <row r="131" spans="1:2" s="7" customFormat="1" x14ac:dyDescent="0.25">
      <c r="A131" s="4"/>
      <c r="B131" s="20"/>
    </row>
    <row r="132" spans="1:2" s="7" customFormat="1" x14ac:dyDescent="0.25">
      <c r="A132" s="4"/>
      <c r="B132" s="20"/>
    </row>
    <row r="133" spans="1:2" s="7" customFormat="1" x14ac:dyDescent="0.25">
      <c r="A133" s="4"/>
      <c r="B133" s="20"/>
    </row>
    <row r="134" spans="1:2" s="7" customFormat="1" x14ac:dyDescent="0.25">
      <c r="A134" s="4"/>
      <c r="B134" s="20"/>
    </row>
    <row r="135" spans="1:2" s="7" customFormat="1" x14ac:dyDescent="0.25">
      <c r="A135" s="4"/>
      <c r="B135" s="20"/>
    </row>
    <row r="136" spans="1:2" s="7" customFormat="1" x14ac:dyDescent="0.25">
      <c r="A136" s="4"/>
      <c r="B136" s="20"/>
    </row>
    <row r="137" spans="1:2" s="7" customFormat="1" x14ac:dyDescent="0.25">
      <c r="A137" s="4"/>
      <c r="B137" s="20"/>
    </row>
    <row r="138" spans="1:2" s="7" customFormat="1" x14ac:dyDescent="0.25">
      <c r="A138" s="4"/>
      <c r="B138" s="20"/>
    </row>
    <row r="139" spans="1:2" s="7" customFormat="1" x14ac:dyDescent="0.25">
      <c r="A139" s="4"/>
      <c r="B139" s="20"/>
    </row>
    <row r="140" spans="1:2" s="7" customFormat="1" x14ac:dyDescent="0.25">
      <c r="A140" s="4"/>
      <c r="B140" s="2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venancio henrique</cp:lastModifiedBy>
  <dcterms:created xsi:type="dcterms:W3CDTF">2024-12-19T13:13:10Z</dcterms:created>
  <dcterms:modified xsi:type="dcterms:W3CDTF">2026-01-21T16:04:12Z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